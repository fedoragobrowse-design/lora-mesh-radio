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e 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<sst xmlns="http://schemas.openxmlformats.org/spreadsheetml/2006/main" count="83" uniqueCount="83">
  <si>
    <t xml:space="preserve">Off-Grid LoRa Mesh — Complete Bill of Materials</t>
  </si>
  <si>
    <t xml:space="preserve">#</t>
  </si>
  <si>
    <t xml:space="preserve">Category</t>
  </si>
  <si>
    <t xml:space="preserve">Item</t>
  </si>
  <si>
    <t xml:space="preserve">Part Number / Source</t>
  </si>
  <si>
    <t xml:space="preserve">Qty</t>
  </si>
  <si>
    <t xml:space="preserve">Unit $</t>
  </si>
  <si>
    <t xml:space="preserve">Line $</t>
  </si>
  <si>
    <t xml:space="preserve">Notes</t>
  </si>
  <si>
    <t xml:space="preserve">RADIO &amp; ANTENNA</t>
  </si>
  <si>
    <t xml:space="preserve">Feather RP2040 RFM95 LoRa 915MHz</t>
  </si>
  <si>
    <t xml:space="preserve">Adafruit #5714</t>
  </si>
  <si>
    <t xml:space="preserve">Integrated SX1276, RP2040, USB-C charging. Headless.</t>
  </si>
  <si>
    <t xml:space="preserve">Raspberry Pi Pico 2 W</t>
  </si>
  <si>
    <t xml:space="preserve">Adafruit #6087</t>
  </si>
  <si>
    <t xml:space="preserve">RP2350, WiFi/BLE. SPI to separate radio.</t>
  </si>
  <si>
    <t xml:space="preserve">Adafruit RFM95W LoRa 915MHz breakout</t>
  </si>
  <si>
    <t xml:space="preserve">Adafruit #3072</t>
  </si>
  <si>
    <t xml:space="preserve">SX1276, SPI. Same chip as Feather radio.</t>
  </si>
  <si>
    <t xml:space="preserve">915 MHz spring antenna</t>
  </si>
  <si>
    <t xml:space="preserve">Adafruit #4269</t>
  </si>
  <si>
    <t xml:space="preserve">One per radio. Never transmit without.</t>
  </si>
  <si>
    <t xml:space="preserve">POSITIONING (NEW — anchor fix for trilateration)</t>
  </si>
  <si>
    <t xml:space="preserve">GPS module (e.g. Adafruit Ultimate GPS breakout)</t>
  </si>
  <si>
    <t xml:space="preserve">Adafruit #746</t>
  </si>
  <si>
    <t xml:space="preserve">One per fixed mesh node, to establish anchor coordinates for wallet-tracker RSSI trilateration (see outline §12.2). UART interface; also usable for optional shared time reference across anchors.</t>
  </si>
  <si>
    <t xml:space="preserve">GPS active antenna (if needed indoors)</t>
  </si>
  <si>
    <t xml:space="preserve">Adafruit #960</t>
  </si>
  <si>
    <t xml:space="preserve">Improves fix quality for anchors mounted indoors near windows; passive antenna on the breakout may suffice outdoors/near-window.</t>
  </si>
  <si>
    <t xml:space="preserve">UWB — PRECISION RANGING (NEW — consolidates wallet-tracker anchors)</t>
  </si>
  <si>
    <t xml:space="preserve">Makerfabs ESP32 UWB DW3000 module</t>
  </si>
  <si>
    <t xml:space="preserve">Amazon / Tindie (Makerfabs)</t>
  </si>
  <si>
    <t xml:space="preserve">One per fixed mesh node. Includes onboard ESP32 + ranging examples — easier to source (Amazon/Tindie) and to bring up than the bare DWM3000EVB. Adds: (a) node-to-node self-localization, (b) takes over the wallet tracker's in-house anchor role — see outline §12.5/12.6.</t>
  </si>
  <si>
    <t xml:space="preserve">UWB antenna (if not integrated on module)</t>
  </si>
  <si>
    <t xml:space="preserve">check DWM3000EVB datasheet</t>
  </si>
  <si>
    <t xml:space="preserve">DWM3000EVB typically has antenna solved on-module; verify before ordering separately.</t>
  </si>
  <si>
    <t xml:space="preserve">DEVELOPMENT &amp; PROTOTYPING</t>
  </si>
  <si>
    <t xml:space="preserve">Half-size breadboard</t>
  </si>
  <si>
    <t xml:space="preserve">Adafruit #64</t>
  </si>
  <si>
    <t xml:space="preserve">One per Pico node, for SPI wiring.</t>
  </si>
  <si>
    <t xml:space="preserve">Pico header pins (if needed)</t>
  </si>
  <si>
    <t xml:space="preserve">Adafruit #5582</t>
  </si>
  <si>
    <t xml:space="preserve">Pico 2 W ships pre-soldered, but backup set.</t>
  </si>
  <si>
    <t xml:space="preserve">M/M jumper wire assortment</t>
  </si>
  <si>
    <t xml:space="preserve">Adafruit #1957</t>
  </si>
  <si>
    <t xml:space="preserve">SPI wiring: SCK, MOSI, MISO, CS, RST, DIO. Also used for GPS UART and UWB wiring.</t>
  </si>
  <si>
    <t xml:space="preserve">POWER &amp; CHARGING</t>
  </si>
  <si>
    <t xml:space="preserve">LiPo battery 3.7V 400mAh JST-PH</t>
  </si>
  <si>
    <t xml:space="preserve">Adafruit #3898</t>
  </si>
  <si>
    <t xml:space="preserve">For Feather headless node. Optional if USB.</t>
  </si>
  <si>
    <t xml:space="preserve">USB-C cable (data)</t>
  </si>
  <si>
    <t xml:space="preserve">Generic / Monoprice</t>
  </si>
  <si>
    <t xml:space="preserve">Flashing Feather + Picos via serial.</t>
  </si>
  <si>
    <t xml:space="preserve">ASSEMBLY &amp; TESTING</t>
  </si>
  <si>
    <t xml:space="preserve">Soldering iron + solder</t>
  </si>
  <si>
    <t xml:space="preserve">60W, lead-free</t>
  </si>
  <si>
    <t xml:space="preserve">RFM95W headers + antenna pads need soldering.</t>
  </si>
  <si>
    <t xml:space="preserve">Wire strippers / cutters</t>
  </si>
  <si>
    <t xml:space="preserve">Generic</t>
  </si>
  <si>
    <t xml:space="preserve">For antenna wires and jumper prep.</t>
  </si>
  <si>
    <t xml:space="preserve">Small enclosure (optional)</t>
  </si>
  <si>
    <t xml:space="preserve">Plastic project box</t>
  </si>
  <si>
    <t xml:space="preserve">Protects breadboard + Pico in field testing.</t>
  </si>
  <si>
    <t xml:space="preserve">DOCUMENTATION &amp; REFERENCE</t>
  </si>
  <si>
    <t xml:space="preserve">Project outline (printed)</t>
  </si>
  <si>
    <t xml:space="preserve">LoRa_Mesh_Project_Outline.docx</t>
  </si>
  <si>
    <t xml:space="preserve">24-page protocol spec + architecture, incl. wallet-tracker + UWB integration.</t>
  </si>
  <si>
    <t xml:space="preserve">Adafruit Feather RFM95 guide</t>
  </si>
  <si>
    <t xml:space="preserve">online</t>
  </si>
  <si>
    <t xml:space="preserve">Reference: pinout, example code (Arduino).</t>
  </si>
  <si>
    <t xml:space="preserve">SUBTOTAL (parts &amp; tools)</t>
  </si>
  <si>
    <t xml:space="preserve">⚠ Estimated totals before shipping (typically $5–10 USPS) and sales tax. Prices current as of June 2026; verify at checkout. GPS line items are for the mesh's 3 fixed nodes only (wallet-tracker anchors) — the tag itself is a separate BOM.</t>
  </si>
  <si>
    <t xml:space="preserve">Sourcing Notes</t>
  </si>
  <si>
    <t xml:space="preserve">• All parts ship from US (Adafruit primarily). No China warehouse, no customs.</t>
  </si>
  <si>
    <t xml:space="preserve">• Radio parameters (915 MHz ISM band) verified for US use. Never operate without an antenna.</t>
  </si>
  <si>
    <t xml:space="preserve">• Soldering required: RFM95W headers + antenna pads. Skills: basic through-hole soldering.</t>
  </si>
  <si>
    <t xml:space="preserve">• The Feather RP2040 RFM95 comes fully assembled. The two Pico nodes require manual SPI wiring on breadboards.</t>
  </si>
  <si>
    <t xml:space="preserve">• Optional: replace spring antennas with 78 mm (3.07") quarter-wave wire soldered to antenna pads (saves ~$3).</t>
  </si>
  <si>
    <t xml:space="preserve">• Development environment: Rust + Embassy for on-chip firmware (radio + crypto); Python for host-side back-end/front-end.</t>
  </si>
  <si>
    <t xml:space="preserve">• GPS modules fix each of the 3 mesh nodes' coordinates for the wallet-tracker's RSSI trilateration feature — this is separate from and does not affect the core chat-mesh functionality, which needs no GPS.</t>
  </si>
  <si>
    <t xml:space="preserve">• GPS modules are wall-powered/stationary anchor use, so continuous fix (not duty-cycled) is fine — unlike the wallet tag itself, which is battery-constrained.</t>
  </si>
  <si>
    <t xml:space="preserve">• UWB modules turn the 3 mesh nodes into the wallet tracker's in-house precision anchors too — this REPLACES the 3-4 dedicated UWB anchors (~$47 each) in the separate Wallet Tracker BOM. Update that BOM to remove its anchor line once these are built.</t>
  </si>
  <si>
    <t xml:space="preserve">• Wire the UWB module (DW3000) on the RP2040/RP2350's second hardware SPI bus (SPI1), separate from the LoRa radio's SPI0, to avoid bus contention between the two radios.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</si>
</sst>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B6B6B"/>
      <name val="Arial"/>
      <family val="0"/>
      <charset val="1"/>
    </font>
    <font>
      <sz val="9"/>
      <color rgb="FF1A242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A24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6"/>
    <col collapsed="false" customWidth="true" hidden="false" outlineLevel="0" max="7" min="6" style="1" width="11"/>
    <col collapsed="false" customWidth="true" hidden="false" outlineLevel="0" max="8" min="8" style="1" width="3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customFormat="false" ht="31.5" hidden="false" customHeight="true" outlineLevel="0" collapsed="false">
      <c r="A3" s="4" t="s">
        <v>9</v>
      </c>
      <c r="B3" s="4"/>
      <c r="C3" s="4"/>
      <c r="D3" s="4"/>
      <c r="E3" s="4"/>
      <c r="F3" s="4"/>
      <c r="G3" s="4"/>
      <c r="H3" s="4"/>
    </row>
    <row r="4" customFormat="false" ht="31.5" hidden="false" customHeight="true" outlineLevel="0" collapsed="false">
      <c r="A4" s="5" t="n">
        <v>1</v>
      </c>
      <c r="B4" s="6"/>
      <c r="C4" s="7" t="s">
        <v>10</v>
      </c>
      <c r="D4" s="7" t="s">
        <v>11</v>
      </c>
      <c r="E4" s="5" t="n">
        <v>1</v>
      </c>
      <c r="F4" s="8" t="n">
        <v>29.95</v>
      </c>
      <c r="G4" s="8" t="n">
        <f aca="false">E4*F4</f>
        <v>29.95</v>
      </c>
      <c r="H4" s="7" t="s">
        <v>12</v>
      </c>
    </row>
    <row r="5" customFormat="false" ht="31.5" hidden="false" customHeight="true" outlineLevel="0" collapsed="false">
      <c r="A5" s="5" t="n">
        <v>2</v>
      </c>
      <c r="B5" s="6"/>
      <c r="C5" s="7" t="s">
        <v>13</v>
      </c>
      <c r="D5" s="7" t="s">
        <v>14</v>
      </c>
      <c r="E5" s="5" t="n">
        <v>2</v>
      </c>
      <c r="F5" s="8" t="n">
        <v>7</v>
      </c>
      <c r="G5" s="8" t="n">
        <f aca="false">E5*F5</f>
        <v>14</v>
      </c>
      <c r="H5" s="7" t="s">
        <v>15</v>
      </c>
    </row>
    <row r="6" customFormat="false" ht="31.5" hidden="false" customHeight="true" outlineLevel="0" collapsed="false">
      <c r="A6" s="5" t="n">
        <v>3</v>
      </c>
      <c r="B6" s="6"/>
      <c r="C6" s="7" t="s">
        <v>16</v>
      </c>
      <c r="D6" s="7" t="s">
        <v>17</v>
      </c>
      <c r="E6" s="5" t="n">
        <v>2</v>
      </c>
      <c r="F6" s="8" t="n">
        <v>19.95</v>
      </c>
      <c r="G6" s="8" t="n">
        <f aca="false">E6*F6</f>
        <v>39.9</v>
      </c>
      <c r="H6" s="7" t="s">
        <v>18</v>
      </c>
    </row>
    <row r="7" customFormat="false" ht="31.5" hidden="false" customHeight="true" outlineLevel="0" collapsed="false">
      <c r="A7" s="5" t="n">
        <v>4</v>
      </c>
      <c r="B7" s="6"/>
      <c r="C7" s="7" t="s">
        <v>19</v>
      </c>
      <c r="D7" s="7" t="s">
        <v>20</v>
      </c>
      <c r="E7" s="5" t="n">
        <v>3</v>
      </c>
      <c r="F7" s="8" t="n">
        <v>0.95</v>
      </c>
      <c r="G7" s="8" t="n">
        <f aca="false">E7*F7</f>
        <v>2.85</v>
      </c>
      <c r="H7" s="7" t="s">
        <v>21</v>
      </c>
    </row>
    <row r="8" customFormat="false" ht="31.5" hidden="false" customHeight="true" outlineLevel="0" collapsed="false">
      <c r="A8" s="4" t="s">
        <v>22</v>
      </c>
      <c r="B8" s="4"/>
      <c r="C8" s="4"/>
      <c r="D8" s="4"/>
      <c r="E8" s="4"/>
      <c r="F8" s="4"/>
      <c r="G8" s="4"/>
      <c r="H8" s="4"/>
    </row>
    <row r="9" customFormat="false" ht="31.5" hidden="false" customHeight="true" outlineLevel="0" collapsed="false">
      <c r="A9" s="5" t="n">
        <v>5</v>
      </c>
      <c r="B9" s="6"/>
      <c r="C9" s="7" t="s">
        <v>23</v>
      </c>
      <c r="D9" s="7" t="s">
        <v>24</v>
      </c>
      <c r="E9" s="5" t="n">
        <v>3</v>
      </c>
      <c r="F9" s="8" t="n">
        <v>39.95</v>
      </c>
      <c r="G9" s="8" t="n">
        <f aca="false">E9*F9</f>
        <v>119.85</v>
      </c>
      <c r="H9" s="7" t="s">
        <v>25</v>
      </c>
    </row>
    <row r="10" customFormat="false" ht="31.5" hidden="false" customHeight="true" outlineLevel="0" collapsed="false">
      <c r="A10" s="5" t="n">
        <v>6</v>
      </c>
      <c r="B10" s="6"/>
      <c r="C10" s="7" t="s">
        <v>26</v>
      </c>
      <c r="D10" s="7" t="s">
        <v>27</v>
      </c>
      <c r="E10" s="5" t="n">
        <v>3</v>
      </c>
      <c r="F10" s="8" t="n">
        <v>12.5</v>
      </c>
      <c r="G10" s="8" t="n">
        <f aca="false">E10*F10</f>
        <v>37.5</v>
      </c>
      <c r="H10" s="7" t="s">
        <v>28</v>
      </c>
    </row>
    <row r="11" customFormat="false" ht="31.5" hidden="false" customHeight="true" outlineLevel="0" collapsed="false">
      <c r="A11" s="4" t="s">
        <v>29</v>
      </c>
      <c r="B11" s="4"/>
      <c r="C11" s="4"/>
      <c r="D11" s="4"/>
      <c r="E11" s="4"/>
      <c r="F11" s="4"/>
      <c r="G11" s="4"/>
      <c r="H11" s="4"/>
    </row>
    <row r="12" customFormat="false" ht="31.5" hidden="false" customHeight="true" outlineLevel="0" collapsed="false">
      <c r="A12" s="5" t="n">
        <v>7</v>
      </c>
      <c r="B12" s="6"/>
      <c r="C12" s="7" t="s">
        <v>30</v>
      </c>
      <c r="D12" s="7" t="s">
        <v>31</v>
      </c>
      <c r="E12" s="5" t="n">
        <v>3</v>
      </c>
      <c r="F12" s="8" t="n">
        <v>43.8</v>
      </c>
      <c r="G12" s="8" t="n">
        <f aca="false">E12*F12</f>
        <v>131.4</v>
      </c>
      <c r="H12" s="7" t="s">
        <v>32</v>
      </c>
    </row>
    <row r="13" customFormat="false" ht="31.5" hidden="false" customHeight="true" outlineLevel="0" collapsed="false">
      <c r="A13" s="5" t="n">
        <v>8</v>
      </c>
      <c r="B13" s="6"/>
      <c r="C13" s="7" t="s">
        <v>33</v>
      </c>
      <c r="D13" s="7" t="s">
        <v>34</v>
      </c>
      <c r="E13" s="5" t="n">
        <v>3</v>
      </c>
      <c r="F13" s="8" t="n">
        <v>0</v>
      </c>
      <c r="G13" s="8" t="n">
        <f aca="false">E13*F13</f>
        <v>0</v>
      </c>
      <c r="H13" s="7" t="s">
        <v>35</v>
      </c>
    </row>
    <row r="14" customFormat="false" ht="31.5" hidden="false" customHeight="true" outlineLevel="0" collapsed="false">
      <c r="A14" s="4" t="s">
        <v>36</v>
      </c>
      <c r="B14" s="4"/>
      <c r="C14" s="4"/>
      <c r="D14" s="4"/>
      <c r="E14" s="4"/>
      <c r="F14" s="4"/>
      <c r="G14" s="4"/>
      <c r="H14" s="4"/>
    </row>
    <row r="15" customFormat="false" ht="31.5" hidden="false" customHeight="true" outlineLevel="0" collapsed="false">
      <c r="A15" s="5" t="n">
        <v>9</v>
      </c>
      <c r="B15" s="6"/>
      <c r="C15" s="7" t="s">
        <v>37</v>
      </c>
      <c r="D15" s="7" t="s">
        <v>38</v>
      </c>
      <c r="E15" s="5" t="n">
        <v>2</v>
      </c>
      <c r="F15" s="8" t="n">
        <v>5</v>
      </c>
      <c r="G15" s="8" t="n">
        <f aca="false">E15*F15</f>
        <v>10</v>
      </c>
      <c r="H15" s="7" t="s">
        <v>39</v>
      </c>
    </row>
    <row r="16" customFormat="false" ht="31.5" hidden="false" customHeight="true" outlineLevel="0" collapsed="false">
      <c r="A16" s="5" t="n">
        <v>10</v>
      </c>
      <c r="B16" s="6"/>
      <c r="C16" s="7" t="s">
        <v>40</v>
      </c>
      <c r="D16" s="7" t="s">
        <v>41</v>
      </c>
      <c r="E16" s="5" t="n">
        <v>2</v>
      </c>
      <c r="F16" s="8" t="n">
        <v>0.95</v>
      </c>
      <c r="G16" s="8" t="n">
        <f aca="false">E16*F16</f>
        <v>1.9</v>
      </c>
      <c r="H16" s="7" t="s">
        <v>42</v>
      </c>
    </row>
    <row r="17" customFormat="false" ht="31.5" hidden="false" customHeight="true" outlineLevel="0" collapsed="false">
      <c r="A17" s="5" t="n">
        <v>11</v>
      </c>
      <c r="B17" s="6"/>
      <c r="C17" s="7" t="s">
        <v>43</v>
      </c>
      <c r="D17" s="7" t="s">
        <v>44</v>
      </c>
      <c r="E17" s="5" t="n">
        <v>1</v>
      </c>
      <c r="F17" s="8" t="n">
        <v>1.95</v>
      </c>
      <c r="G17" s="8" t="n">
        <f aca="false">E17*F17</f>
        <v>1.95</v>
      </c>
      <c r="H17" s="7" t="s">
        <v>45</v>
      </c>
    </row>
    <row r="18" customFormat="false" ht="31.5" hidden="false" customHeight="true" outlineLevel="0" collapsed="false">
      <c r="A18" s="4" t="s">
        <v>46</v>
      </c>
      <c r="B18" s="4"/>
      <c r="C18" s="4"/>
      <c r="D18" s="4"/>
      <c r="E18" s="4"/>
      <c r="F18" s="4"/>
      <c r="G18" s="4"/>
      <c r="H18" s="4"/>
    </row>
    <row r="19" customFormat="false" ht="31.5" hidden="false" customHeight="true" outlineLevel="0" collapsed="false">
      <c r="A19" s="5" t="n">
        <v>12</v>
      </c>
      <c r="B19" s="6"/>
      <c r="C19" s="7" t="s">
        <v>47</v>
      </c>
      <c r="D19" s="7" t="s">
        <v>48</v>
      </c>
      <c r="E19" s="5" t="n">
        <v>1</v>
      </c>
      <c r="F19" s="8" t="n">
        <v>6.95</v>
      </c>
      <c r="G19" s="8" t="n">
        <f aca="false">E19*F19</f>
        <v>6.95</v>
      </c>
      <c r="H19" s="7" t="s">
        <v>49</v>
      </c>
    </row>
    <row r="20" customFormat="false" ht="31.5" hidden="false" customHeight="true" outlineLevel="0" collapsed="false">
      <c r="A20" s="5" t="n">
        <v>13</v>
      </c>
      <c r="B20" s="6"/>
      <c r="C20" s="7" t="s">
        <v>50</v>
      </c>
      <c r="D20" s="7" t="s">
        <v>51</v>
      </c>
      <c r="E20" s="5" t="n">
        <v>1</v>
      </c>
      <c r="F20" s="8" t="n">
        <v>3.5</v>
      </c>
      <c r="G20" s="8" t="n">
        <f aca="false">E20*F20</f>
        <v>3.5</v>
      </c>
      <c r="H20" s="7" t="s">
        <v>52</v>
      </c>
    </row>
    <row r="21" customFormat="false" ht="31.5" hidden="false" customHeight="true" outlineLevel="0" collapsed="false">
      <c r="A21" s="4" t="s">
        <v>53</v>
      </c>
      <c r="B21" s="4"/>
      <c r="C21" s="4"/>
      <c r="D21" s="4"/>
      <c r="E21" s="4"/>
      <c r="F21" s="4"/>
      <c r="G21" s="4"/>
      <c r="H21" s="4"/>
    </row>
    <row r="22" customFormat="false" ht="31.5" hidden="false" customHeight="true" outlineLevel="0" collapsed="false">
      <c r="A22" s="5" t="n">
        <v>14</v>
      </c>
      <c r="B22" s="6"/>
      <c r="C22" s="7" t="s">
        <v>54</v>
      </c>
      <c r="D22" s="7" t="s">
        <v>55</v>
      </c>
      <c r="E22" s="5" t="n">
        <v>1</v>
      </c>
      <c r="F22" s="8" t="n">
        <v>25</v>
      </c>
      <c r="G22" s="8" t="n">
        <f aca="false">E22*F22</f>
        <v>25</v>
      </c>
      <c r="H22" s="7" t="s">
        <v>56</v>
      </c>
    </row>
    <row r="23" customFormat="false" ht="31.5" hidden="false" customHeight="true" outlineLevel="0" collapsed="false">
      <c r="A23" s="5" t="n">
        <v>15</v>
      </c>
      <c r="B23" s="6"/>
      <c r="C23" s="7" t="s">
        <v>57</v>
      </c>
      <c r="D23" s="7" t="s">
        <v>58</v>
      </c>
      <c r="E23" s="5" t="n">
        <v>1</v>
      </c>
      <c r="F23" s="8" t="n">
        <v>5</v>
      </c>
      <c r="G23" s="8" t="n">
        <f aca="false">E23*F23</f>
        <v>5</v>
      </c>
      <c r="H23" s="7" t="s">
        <v>59</v>
      </c>
    </row>
    <row r="24" customFormat="false" ht="31.5" hidden="false" customHeight="true" outlineLevel="0" collapsed="false">
      <c r="A24" s="5" t="n">
        <v>16</v>
      </c>
      <c r="B24" s="6"/>
      <c r="C24" s="7" t="s">
        <v>60</v>
      </c>
      <c r="D24" s="7" t="s">
        <v>61</v>
      </c>
      <c r="E24" s="5" t="n">
        <v>1</v>
      </c>
      <c r="F24" s="8" t="n">
        <v>3</v>
      </c>
      <c r="G24" s="8" t="n">
        <f aca="false">E24*F24</f>
        <v>3</v>
      </c>
      <c r="H24" s="7" t="s">
        <v>62</v>
      </c>
    </row>
    <row r="25" customFormat="false" ht="31.5" hidden="false" customHeight="true" outlineLevel="0" collapsed="false">
      <c r="A25" s="4" t="s">
        <v>63</v>
      </c>
      <c r="B25" s="4"/>
      <c r="C25" s="4"/>
      <c r="D25" s="4"/>
      <c r="E25" s="4"/>
      <c r="F25" s="4"/>
      <c r="G25" s="4"/>
      <c r="H25" s="4"/>
    </row>
    <row r="26" customFormat="false" ht="31.5" hidden="false" customHeight="true" outlineLevel="0" collapsed="false">
      <c r="A26" s="5" t="n">
        <v>17</v>
      </c>
      <c r="B26" s="6"/>
      <c r="C26" s="7" t="s">
        <v>64</v>
      </c>
      <c r="D26" s="7" t="s">
        <v>65</v>
      </c>
      <c r="E26" s="5" t="n">
        <v>1</v>
      </c>
      <c r="F26" s="8" t="n">
        <v>0</v>
      </c>
      <c r="G26" s="8" t="n">
        <f aca="false">E26*F26</f>
        <v>0</v>
      </c>
      <c r="H26" s="7" t="s">
        <v>66</v>
      </c>
    </row>
    <row r="27" customFormat="false" ht="31.5" hidden="false" customHeight="true" outlineLevel="0" collapsed="false">
      <c r="A27" s="5" t="n">
        <v>18</v>
      </c>
      <c r="B27" s="6"/>
      <c r="C27" s="7" t="s">
        <v>67</v>
      </c>
      <c r="D27" s="7" t="s">
        <v>68</v>
      </c>
      <c r="E27" s="5" t="n">
        <v>1</v>
      </c>
      <c r="F27" s="8" t="n">
        <v>0</v>
      </c>
      <c r="G27" s="8" t="n">
        <f aca="false">E27*F27</f>
        <v>0</v>
      </c>
      <c r="H27" s="7" t="s">
        <v>69</v>
      </c>
    </row>
    <row r="29" customFormat="false" ht="15" hidden="false" customHeight="true" outlineLevel="0" collapsed="false">
      <c r="A29" s="9" t="s">
        <v>70</v>
      </c>
      <c r="B29" s="9"/>
      <c r="C29" s="9"/>
      <c r="D29" s="9"/>
      <c r="E29" s="9"/>
      <c r="F29" s="9"/>
      <c r="G29" s="10" t="n">
        <f aca="false">SUM(G4:G27)</f>
        <v>432.75</v>
      </c>
    </row>
    <row r="31" customFormat="false" ht="21.75" hidden="false" customHeight="true" outlineLevel="0" collapsed="false">
      <c r="A31" s="11" t="s">
        <v>71</v>
      </c>
      <c r="B31" s="11"/>
      <c r="C31" s="11"/>
      <c r="D31" s="11"/>
      <c r="E31" s="11"/>
      <c r="F31" s="11"/>
      <c r="G31" s="11"/>
      <c r="H31" s="11"/>
    </row>
    <row r="33" customFormat="false" ht="15" hidden="false" customHeight="true" outlineLevel="0" collapsed="false">
      <c r="A33" s="12" t="s">
        <v>72</v>
      </c>
      <c r="B33" s="12"/>
      <c r="C33" s="12"/>
      <c r="D33" s="12"/>
      <c r="E33" s="12"/>
      <c r="F33" s="12"/>
      <c r="G33" s="12"/>
      <c r="H33" s="12"/>
    </row>
    <row r="34" customFormat="false" ht="27.75" hidden="false" customHeight="true" outlineLevel="0" collapsed="false">
      <c r="A34" s="13" t="s">
        <v>73</v>
      </c>
      <c r="B34" s="13"/>
      <c r="C34" s="13"/>
      <c r="D34" s="13"/>
      <c r="E34" s="13"/>
      <c r="F34" s="13"/>
      <c r="G34" s="13"/>
      <c r="H34" s="13"/>
    </row>
    <row r="35" customFormat="false" ht="27.75" hidden="false" customHeight="true" outlineLevel="0" collapsed="false">
      <c r="A35" s="13" t="s">
        <v>74</v>
      </c>
      <c r="B35" s="13"/>
      <c r="C35" s="13"/>
      <c r="D35" s="13"/>
      <c r="E35" s="13"/>
      <c r="F35" s="13"/>
      <c r="G35" s="13"/>
      <c r="H35" s="13"/>
    </row>
    <row r="36" customFormat="false" ht="27.75" hidden="false" customHeight="true" outlineLevel="0" collapsed="false">
      <c r="A36" s="13" t="s">
        <v>75</v>
      </c>
      <c r="B36" s="13"/>
      <c r="C36" s="13"/>
      <c r="D36" s="13"/>
      <c r="E36" s="13"/>
      <c r="F36" s="13"/>
      <c r="G36" s="13"/>
      <c r="H36" s="13"/>
    </row>
    <row r="37" customFormat="false" ht="27.75" hidden="false" customHeight="true" outlineLevel="0" collapsed="false">
      <c r="A37" s="13" t="s">
        <v>76</v>
      </c>
      <c r="B37" s="13"/>
      <c r="C37" s="13"/>
      <c r="D37" s="13"/>
      <c r="E37" s="13"/>
      <c r="F37" s="13"/>
      <c r="G37" s="13"/>
      <c r="H37" s="13"/>
    </row>
    <row r="38" customFormat="false" ht="27.75" hidden="false" customHeight="true" outlineLevel="0" collapsed="false">
      <c r="A38" s="13" t="s">
        <v>77</v>
      </c>
      <c r="B38" s="13"/>
      <c r="C38" s="13"/>
      <c r="D38" s="13"/>
      <c r="E38" s="13"/>
      <c r="F38" s="13"/>
      <c r="G38" s="13"/>
      <c r="H38" s="13"/>
    </row>
    <row r="39" customFormat="false" ht="27.75" hidden="false" customHeight="true" outlineLevel="0" collapsed="false">
      <c r="A39" s="13" t="s">
        <v>78</v>
      </c>
      <c r="B39" s="13"/>
      <c r="C39" s="13"/>
      <c r="D39" s="13"/>
      <c r="E39" s="13"/>
      <c r="F39" s="13"/>
      <c r="G39" s="13"/>
      <c r="H39" s="13"/>
    </row>
    <row r="40" customFormat="false" ht="27.75" hidden="false" customHeight="true" outlineLevel="0" collapsed="false">
      <c r="A40" s="13" t="s">
        <v>79</v>
      </c>
      <c r="B40" s="13"/>
      <c r="C40" s="13"/>
      <c r="D40" s="13"/>
      <c r="E40" s="13"/>
      <c r="F40" s="13"/>
      <c r="G40" s="13"/>
      <c r="H40" s="13"/>
    </row>
    <row r="41" customFormat="false" ht="27.75" hidden="false" customHeight="true" outlineLevel="0" collapsed="false">
      <c r="A41" s="13" t="s">
        <v>80</v>
      </c>
      <c r="B41" s="13"/>
      <c r="C41" s="13"/>
      <c r="D41" s="13"/>
      <c r="E41" s="13"/>
      <c r="F41" s="13"/>
      <c r="G41" s="13"/>
      <c r="H41" s="13"/>
    </row>
    <row r="42" customFormat="false" ht="27.75" hidden="false" customHeight="true" outlineLevel="0" collapsed="false">
      <c r="A42" s="13" t="s">
        <v>81</v>
      </c>
      <c r="B42" s="13"/>
      <c r="C42" s="13"/>
      <c r="D42" s="13"/>
      <c r="E42" s="13"/>
      <c r="F42" s="13"/>
      <c r="G42" s="13"/>
      <c r="H42" s="13"/>
    </row>
    <row r="43" customFormat="false" ht="27.75" hidden="false" customHeight="true" outlineLevel="0" collapsed="false">
      <c r="A43" s="13" t="s">
        <v>82</v>
      </c>
      <c r="B43" s="13"/>
      <c r="C43" s="13"/>
      <c r="D43" s="13"/>
      <c r="E43" s="13"/>
      <c r="F43" s="13"/>
      <c r="G43" s="13"/>
      <c r="H43" s="13"/>
    </row>
  </sheetData>
  <mergeCells count="21">
    <mergeCell ref="A1:H1"/>
    <mergeCell ref="A3:H3"/>
    <mergeCell ref="A8:H8"/>
    <mergeCell ref="A11:H11"/>
    <mergeCell ref="A14:H14"/>
    <mergeCell ref="A18:H18"/>
    <mergeCell ref="A21:H21"/>
    <mergeCell ref="A25:H25"/>
    <mergeCell ref="A29:F29"/>
    <mergeCell ref="A31:H31"/>
    <mergeCell ref="A33:H33"/>
    <mergeCell ref="A34:H34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2026-07-27T02:20:29Z</dcterms:created>
  <dc:creator>openpyxl</dc:creator>
  <dc:description/>
  <dc:language>en-US</dc:language>
  <cp:lastModifiedBy/>
  <dcterms:modified xsi:type="dcterms:W3CDTF">2026-09-07T19:58:16Z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