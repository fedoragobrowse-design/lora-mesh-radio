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<sst xmlns="http://schemas.openxmlformats.org/spreadsheetml/2006/main" count="61" uniqueCount="60">
  <si>
    <t xml:space="preserve">Off-Grid LoRa Mesh — Adafruit BOM (Essentials + Extras)</t>
  </si>
  <si>
    <t xml:space="preserve">#</t>
  </si>
  <si>
    <t xml:space="preserve">Item</t>
  </si>
  <si>
    <t xml:space="preserve">Adafruit Part #</t>
  </si>
  <si>
    <t xml:space="preserve">Qty</t>
  </si>
  <si>
    <t xml:space="preserve">Unit $</t>
  </si>
  <si>
    <t xml:space="preserve">Line $</t>
  </si>
  <si>
    <t xml:space="preserve">Notes</t>
  </si>
  <si>
    <t xml:space="preserve">ESSENTIALS — required to build the working 3-node mesh</t>
  </si>
  <si>
    <t xml:space="preserve">Raspberry Pi Pico 2 W</t>
  </si>
  <si>
    <t xml:space="preserve">6087</t>
  </si>
  <si>
    <t xml:space="preserve">Core MCU for 2 of the 3 nodes. Cheapest RP2350 board with WiFi/BLE (unused by mesh, but this is the current stocked variant).</t>
  </si>
  <si>
    <t xml:space="preserve">Adafruit RFM95W LoRa Radio Breakout (915MHz)</t>
  </si>
  <si>
    <t xml:space="preserve">3072</t>
  </si>
  <si>
    <t xml:space="preserve">SX1276 LoRa radio for the 2 Pico nodes. Needs SPI wiring + soldering.</t>
  </si>
  <si>
    <t xml:space="preserve">Feather RP2040 RFM95 LoRa (915MHz)</t>
  </si>
  <si>
    <t xml:space="preserve">5714</t>
  </si>
  <si>
    <t xml:space="preserve">3rd node: MCU + radio integrated on one board — cheaper and simpler than a separate Pico+breakout for this node.</t>
  </si>
  <si>
    <t xml:space="preserve">Simple Spring Antenna — 915MHz</t>
  </si>
  <si>
    <t xml:space="preserve">4269</t>
  </si>
  <si>
    <t xml:space="preserve">Cheapest working antenna option, one per radio. Never transmit without one.</t>
  </si>
  <si>
    <t xml:space="preserve">Half+ Perma-Proto / breadboard</t>
  </si>
  <si>
    <t xml:space="preserve">64</t>
  </si>
  <si>
    <t xml:space="preserve">Prototyping surface for the 2 Pico+breakout nodes' SPI wiring.</t>
  </si>
  <si>
    <t xml:space="preserve">Premium Male/Male Jumper Wires (20x6")</t>
  </si>
  <si>
    <t xml:space="preserve">1957</t>
  </si>
  <si>
    <t xml:space="preserve">SPI wiring: SCK, MOSI, MISO, CS, RST, DIO0 — one pack covers both Pico nodes.</t>
  </si>
  <si>
    <t xml:space="preserve">USB-C Cable</t>
  </si>
  <si>
    <t xml:space="preserve">4470</t>
  </si>
  <si>
    <t xml:space="preserve">Flashing/powering all 3 boards over serial.</t>
  </si>
  <si>
    <t xml:space="preserve">ESSENTIALS SUBTOTAL</t>
  </si>
  <si>
    <t xml:space="preserve">EXTRAS — optional: wallet-tracker integration, power, durability</t>
  </si>
  <si>
    <t xml:space="preserve">PowerBoost 1000C (LiPo charge + boost)</t>
  </si>
  <si>
    <t xml:space="preserve">2465</t>
  </si>
  <si>
    <t xml:space="preserve">Battery power + charging for the headless Feather node, if not always on USB.</t>
  </si>
  <si>
    <t xml:space="preserve">Lithium Ion Polymer Battery — 3.7V 500mAh</t>
  </si>
  <si>
    <t xml:space="preserve">1578</t>
  </si>
  <si>
    <t xml:space="preserve">Pairs with PowerBoost above for portable/field operation of the Feather node.</t>
  </si>
  <si>
    <t xml:space="preserve">Ultimate GPS Breakout (66 channel)</t>
  </si>
  <si>
    <t xml:space="preserve">746</t>
  </si>
  <si>
    <t xml:space="preserve">Fixes each node's coordinates for wallet-tracker RSSI trilateration (outline §12.2). Skip if chat-only mesh is the goal.</t>
  </si>
  <si>
    <t xml:space="preserve">Mini GPS/GNSS Antenna — uFL</t>
  </si>
  <si>
    <t xml:space="preserve">960</t>
  </si>
  <si>
    <t xml:space="preserve">Cheap passive antenna for the GPS breakout above; fine near a window.</t>
  </si>
  <si>
    <t xml:space="preserve">Makerfabs ESP32 UWB DW3000 module</t>
  </si>
  <si>
    <t xml:space="preserve">n/a — via Digi-Key, not Adafruit</t>
  </si>
  <si>
    <t xml:space="preserve">Centimeter ranging for wallet-tracker anchor consolidation + node self-localization (outline §12.5). Not an Adafruit part — buy via Amazon/Tindie. Includes onboard ESP32 + working ranging examples, easier to source/bring up than the bare Qorvo DWM3000EVB.</t>
  </si>
  <si>
    <t xml:space="preserve">Small enclosure / project box</t>
  </si>
  <si>
    <t xml:space="preserve">n/a — generic</t>
  </si>
  <si>
    <t xml:space="preserve">Field protection for a breadboard node. Purely optional.</t>
  </si>
  <si>
    <t xml:space="preserve">Adafruit Perma-Proto Half breadboard-sized PCB</t>
  </si>
  <si>
    <t xml:space="preserve">1609</t>
  </si>
  <si>
    <t xml:space="preserve">Solder the Pico nodes' wiring permanently once the design is stable — replaces the breadboards above for a durable build.</t>
  </si>
  <si>
    <t xml:space="preserve">EXTRAS SUBTOTAL</t>
  </si>
  <si>
    <t xml:space="preserve">GRAND TOTAL (essentials + extras)</t>
  </si>
  <si>
    <t xml:space="preserve">⚠ Prices are current Adafruit list prices as of research date; verify at checkout. Shipping/tax not included. Cheapest viable option chosen at each essentials line (e.g. spring antenna over uFL+SMA kit).</t>
  </si>
  <si>
    <t xml:space="preserve">• Essentials alone build a working, encrypted, 3-node LoRa chat mesh — no GPS/UWB required for that core function.</t>
  </si>
  <si>
    <t xml:space="preserve">• Extras only matter if you're pursuing the wallet-tracker integration (GPS anchors, UWB ranging) or want battery/portable/durable builds.</t>
  </si>
  <si>
    <t xml:space="preserve">• The DWM3000EVB is not an Adafruit product — it's listed in Extras for completeness since it's part of the same optional tier; source via Digi-Key/Qorvo.</t>
  </si>
  <si>
    <t xml:space="preserve">• Soldering required on the RFM95W breakouts (headers + antenna pad) regardless of tier — budget an iron + solder if you don't already have one.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</si>
</sst>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A2421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6B6B6B"/>
      <name val="Arial"/>
      <family val="0"/>
      <charset val="1"/>
    </font>
    <font>
      <sz val="9"/>
      <color rgb="FF1A242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A24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6"/>
    <col collapsed="false" customWidth="true" hidden="false" outlineLevel="0" max="5" min="5" style="1" width="9"/>
    <col collapsed="false" customWidth="true" hidden="false" outlineLevel="0" max="6" min="6" style="1" width="10"/>
    <col collapsed="false" customWidth="true" hidden="false" outlineLevel="0" max="7" min="7" style="1" width="42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customFormat="false" ht="21.75" hidden="false" customHeight="true" outlineLevel="0" collapsed="false">
      <c r="A3" s="4" t="s">
        <v>8</v>
      </c>
      <c r="B3" s="4"/>
      <c r="C3" s="4"/>
      <c r="D3" s="4"/>
      <c r="E3" s="4"/>
      <c r="F3" s="4"/>
      <c r="G3" s="4"/>
    </row>
    <row r="4" customFormat="false" ht="51.75" hidden="false" customHeight="true" outlineLevel="0" collapsed="false">
      <c r="A4" s="5" t="n">
        <v>1</v>
      </c>
      <c r="B4" s="6" t="s">
        <v>9</v>
      </c>
      <c r="C4" s="6" t="s">
        <v>10</v>
      </c>
      <c r="D4" s="5" t="n">
        <v>2</v>
      </c>
      <c r="E4" s="7" t="n">
        <v>7</v>
      </c>
      <c r="F4" s="7" t="n">
        <f aca="false">D4*E4</f>
        <v>14</v>
      </c>
      <c r="G4" s="6" t="s">
        <v>11</v>
      </c>
    </row>
    <row r="5" customFormat="false" ht="26.25" hidden="false" customHeight="true" outlineLevel="0" collapsed="false">
      <c r="A5" s="5" t="n">
        <v>2</v>
      </c>
      <c r="B5" s="6" t="s">
        <v>12</v>
      </c>
      <c r="C5" s="6" t="s">
        <v>13</v>
      </c>
      <c r="D5" s="5" t="n">
        <v>2</v>
      </c>
      <c r="E5" s="7" t="n">
        <v>19.95</v>
      </c>
      <c r="F5" s="7" t="n">
        <f aca="false">D5*E5</f>
        <v>39.9</v>
      </c>
      <c r="G5" s="6" t="s">
        <v>14</v>
      </c>
    </row>
    <row r="6" customFormat="false" ht="39" hidden="false" customHeight="true" outlineLevel="0" collapsed="false">
      <c r="A6" s="5" t="n">
        <v>3</v>
      </c>
      <c r="B6" s="6" t="s">
        <v>15</v>
      </c>
      <c r="C6" s="6" t="s">
        <v>16</v>
      </c>
      <c r="D6" s="5" t="n">
        <v>1</v>
      </c>
      <c r="E6" s="7" t="n">
        <v>29.95</v>
      </c>
      <c r="F6" s="7" t="n">
        <f aca="false">D6*E6</f>
        <v>29.95</v>
      </c>
      <c r="G6" s="6" t="s">
        <v>17</v>
      </c>
    </row>
    <row r="7" customFormat="false" ht="26.25" hidden="false" customHeight="true" outlineLevel="0" collapsed="false">
      <c r="A7" s="5" t="n">
        <v>4</v>
      </c>
      <c r="B7" s="6" t="s">
        <v>18</v>
      </c>
      <c r="C7" s="6" t="s">
        <v>19</v>
      </c>
      <c r="D7" s="5" t="n">
        <v>3</v>
      </c>
      <c r="E7" s="7" t="n">
        <v>0.95</v>
      </c>
      <c r="F7" s="7" t="n">
        <f aca="false">D7*E7</f>
        <v>2.85</v>
      </c>
      <c r="G7" s="6" t="s">
        <v>20</v>
      </c>
    </row>
    <row r="8" customFormat="false" ht="26.25" hidden="false" customHeight="true" outlineLevel="0" collapsed="false">
      <c r="A8" s="5" t="n">
        <v>5</v>
      </c>
      <c r="B8" s="6" t="s">
        <v>21</v>
      </c>
      <c r="C8" s="6" t="s">
        <v>22</v>
      </c>
      <c r="D8" s="5" t="n">
        <v>2</v>
      </c>
      <c r="E8" s="7" t="n">
        <v>5</v>
      </c>
      <c r="F8" s="7" t="n">
        <f aca="false">D8*E8</f>
        <v>10</v>
      </c>
      <c r="G8" s="6" t="s">
        <v>23</v>
      </c>
    </row>
    <row r="9" customFormat="false" ht="26.25" hidden="false" customHeight="true" outlineLevel="0" collapsed="false">
      <c r="A9" s="5" t="n">
        <v>6</v>
      </c>
      <c r="B9" s="6" t="s">
        <v>24</v>
      </c>
      <c r="C9" s="6" t="s">
        <v>25</v>
      </c>
      <c r="D9" s="5" t="n">
        <v>1</v>
      </c>
      <c r="E9" s="7" t="n">
        <v>1.95</v>
      </c>
      <c r="F9" s="7" t="n">
        <f aca="false">D9*E9</f>
        <v>1.95</v>
      </c>
      <c r="G9" s="6" t="s">
        <v>26</v>
      </c>
    </row>
    <row r="10" customFormat="false" ht="15" hidden="false" customHeight="true" outlineLevel="0" collapsed="false">
      <c r="A10" s="5" t="n">
        <v>7</v>
      </c>
      <c r="B10" s="6" t="s">
        <v>27</v>
      </c>
      <c r="C10" s="6" t="s">
        <v>28</v>
      </c>
      <c r="D10" s="5" t="n">
        <v>1</v>
      </c>
      <c r="E10" s="7" t="n">
        <v>2.95</v>
      </c>
      <c r="F10" s="7" t="n">
        <f aca="false">D10*E10</f>
        <v>2.95</v>
      </c>
      <c r="G10" s="6" t="s">
        <v>29</v>
      </c>
    </row>
    <row r="12" customFormat="false" ht="15" hidden="false" customHeight="true" outlineLevel="0" collapsed="false">
      <c r="A12" s="8" t="s">
        <v>30</v>
      </c>
      <c r="B12" s="8"/>
      <c r="C12" s="8"/>
      <c r="D12" s="8"/>
      <c r="E12" s="8"/>
      <c r="F12" s="9" t="n">
        <f aca="false">SUM(F4:F10)</f>
        <v>101.6</v>
      </c>
    </row>
    <row r="14" customFormat="false" ht="21.75" hidden="false" customHeight="true" outlineLevel="0" collapsed="false">
      <c r="A14" s="10" t="s">
        <v>31</v>
      </c>
      <c r="B14" s="10"/>
      <c r="C14" s="10"/>
      <c r="D14" s="10"/>
      <c r="E14" s="10"/>
      <c r="F14" s="10"/>
      <c r="G14" s="10"/>
    </row>
    <row r="15" customFormat="false" ht="26.25" hidden="false" customHeight="true" outlineLevel="0" collapsed="false">
      <c r="A15" s="5" t="n">
        <v>8</v>
      </c>
      <c r="B15" s="6" t="s">
        <v>32</v>
      </c>
      <c r="C15" s="6" t="s">
        <v>33</v>
      </c>
      <c r="D15" s="5" t="n">
        <v>1</v>
      </c>
      <c r="E15" s="7" t="n">
        <v>19.95</v>
      </c>
      <c r="F15" s="7" t="n">
        <f aca="false">D15*E15</f>
        <v>19.95</v>
      </c>
      <c r="G15" s="6" t="s">
        <v>34</v>
      </c>
    </row>
    <row r="16" customFormat="false" ht="26.25" hidden="false" customHeight="true" outlineLevel="0" collapsed="false">
      <c r="A16" s="5" t="n">
        <v>9</v>
      </c>
      <c r="B16" s="6" t="s">
        <v>35</v>
      </c>
      <c r="C16" s="6" t="s">
        <v>36</v>
      </c>
      <c r="D16" s="5" t="n">
        <v>1</v>
      </c>
      <c r="E16" s="7" t="n">
        <v>7.95</v>
      </c>
      <c r="F16" s="7" t="n">
        <f aca="false">D16*E16</f>
        <v>7.95</v>
      </c>
      <c r="G16" s="6" t="s">
        <v>37</v>
      </c>
    </row>
    <row r="17" customFormat="false" ht="39" hidden="false" customHeight="true" outlineLevel="0" collapsed="false">
      <c r="A17" s="5" t="n">
        <v>10</v>
      </c>
      <c r="B17" s="6" t="s">
        <v>38</v>
      </c>
      <c r="C17" s="6" t="s">
        <v>39</v>
      </c>
      <c r="D17" s="5" t="n">
        <v>3</v>
      </c>
      <c r="E17" s="7" t="n">
        <v>39.95</v>
      </c>
      <c r="F17" s="7" t="n">
        <f aca="false">D17*E17</f>
        <v>119.85</v>
      </c>
      <c r="G17" s="6" t="s">
        <v>40</v>
      </c>
    </row>
    <row r="18" customFormat="false" ht="26.25" hidden="false" customHeight="true" outlineLevel="0" collapsed="false">
      <c r="A18" s="5" t="n">
        <v>11</v>
      </c>
      <c r="B18" s="6" t="s">
        <v>41</v>
      </c>
      <c r="C18" s="6" t="s">
        <v>42</v>
      </c>
      <c r="D18" s="5" t="n">
        <v>3</v>
      </c>
      <c r="E18" s="7" t="n">
        <v>3.95</v>
      </c>
      <c r="F18" s="7" t="n">
        <f aca="false">D18*E18</f>
        <v>11.85</v>
      </c>
      <c r="G18" s="6" t="s">
        <v>43</v>
      </c>
    </row>
    <row r="19" customFormat="false" ht="64.5" hidden="false" customHeight="true" outlineLevel="0" collapsed="false">
      <c r="A19" s="5" t="n">
        <v>12</v>
      </c>
      <c r="B19" s="6" t="s">
        <v>44</v>
      </c>
      <c r="C19" s="6" t="s">
        <v>45</v>
      </c>
      <c r="D19" s="5" t="n">
        <v>3</v>
      </c>
      <c r="E19" s="7" t="n">
        <v>43.8</v>
      </c>
      <c r="F19" s="7" t="n">
        <f aca="false">D19*E19</f>
        <v>131.4</v>
      </c>
      <c r="G19" s="6" t="s">
        <v>46</v>
      </c>
    </row>
    <row r="20" customFormat="false" ht="26.25" hidden="false" customHeight="true" outlineLevel="0" collapsed="false">
      <c r="A20" s="5" t="n">
        <v>13</v>
      </c>
      <c r="B20" s="6" t="s">
        <v>47</v>
      </c>
      <c r="C20" s="6" t="s">
        <v>48</v>
      </c>
      <c r="D20" s="5" t="n">
        <v>1</v>
      </c>
      <c r="E20" s="7" t="n">
        <v>3</v>
      </c>
      <c r="F20" s="7" t="n">
        <f aca="false">D20*E20</f>
        <v>3</v>
      </c>
      <c r="G20" s="6" t="s">
        <v>49</v>
      </c>
    </row>
    <row r="21" customFormat="false" ht="39" hidden="false" customHeight="true" outlineLevel="0" collapsed="false">
      <c r="A21" s="5" t="n">
        <v>14</v>
      </c>
      <c r="B21" s="6" t="s">
        <v>50</v>
      </c>
      <c r="C21" s="6" t="s">
        <v>51</v>
      </c>
      <c r="D21" s="5" t="n">
        <v>2</v>
      </c>
      <c r="E21" s="7" t="n">
        <v>4.5</v>
      </c>
      <c r="F21" s="7" t="n">
        <f aca="false">D21*E21</f>
        <v>9</v>
      </c>
      <c r="G21" s="6" t="s">
        <v>52</v>
      </c>
    </row>
    <row r="23" customFormat="false" ht="15" hidden="false" customHeight="true" outlineLevel="0" collapsed="false">
      <c r="A23" s="8" t="s">
        <v>53</v>
      </c>
      <c r="B23" s="8"/>
      <c r="C23" s="8"/>
      <c r="D23" s="8"/>
      <c r="E23" s="8"/>
      <c r="F23" s="9" t="n">
        <f aca="false">SUM(F15:F21)</f>
        <v>303</v>
      </c>
    </row>
    <row r="25" customFormat="false" ht="15" hidden="false" customHeight="true" outlineLevel="0" collapsed="false">
      <c r="A25" s="11" t="s">
        <v>54</v>
      </c>
      <c r="B25" s="11"/>
      <c r="C25" s="11"/>
      <c r="D25" s="11"/>
      <c r="E25" s="11"/>
      <c r="F25" s="12" t="n">
        <f aca="false">SUM(F4:F10)+SUM(F15:F21)</f>
        <v>404.6</v>
      </c>
    </row>
    <row r="27" customFormat="false" ht="27.75" hidden="false" customHeight="true" outlineLevel="0" collapsed="false">
      <c r="A27" s="13" t="s">
        <v>55</v>
      </c>
      <c r="B27" s="13"/>
      <c r="C27" s="13"/>
      <c r="D27" s="13"/>
      <c r="E27" s="13"/>
      <c r="F27" s="13"/>
      <c r="G27" s="13"/>
    </row>
    <row r="29" customFormat="false" ht="15" hidden="false" customHeight="true" outlineLevel="0" collapsed="false">
      <c r="A29" s="14" t="s">
        <v>7</v>
      </c>
      <c r="B29" s="14"/>
      <c r="C29" s="14"/>
      <c r="D29" s="14"/>
      <c r="E29" s="14"/>
      <c r="F29" s="14"/>
      <c r="G29" s="14"/>
    </row>
    <row r="30" customFormat="false" ht="25.5" hidden="false" customHeight="true" outlineLevel="0" collapsed="false">
      <c r="A30" s="15" t="s">
        <v>56</v>
      </c>
      <c r="B30" s="15"/>
      <c r="C30" s="15"/>
      <c r="D30" s="15"/>
      <c r="E30" s="15"/>
      <c r="F30" s="15"/>
      <c r="G30" s="15"/>
    </row>
    <row r="31" customFormat="false" ht="25.5" hidden="false" customHeight="true" outlineLevel="0" collapsed="false">
      <c r="A31" s="15" t="s">
        <v>57</v>
      </c>
      <c r="B31" s="15"/>
      <c r="C31" s="15"/>
      <c r="D31" s="15"/>
      <c r="E31" s="15"/>
      <c r="F31" s="15"/>
      <c r="G31" s="15"/>
    </row>
    <row r="32" customFormat="false" ht="25.5" hidden="false" customHeight="true" outlineLevel="0" collapsed="false">
      <c r="A32" s="15" t="s">
        <v>58</v>
      </c>
      <c r="B32" s="15"/>
      <c r="C32" s="15"/>
      <c r="D32" s="15"/>
      <c r="E32" s="15"/>
      <c r="F32" s="15"/>
      <c r="G32" s="15"/>
    </row>
    <row r="33" customFormat="false" ht="25.5" hidden="false" customHeight="true" outlineLevel="0" collapsed="false">
      <c r="A33" s="15" t="s">
        <v>59</v>
      </c>
      <c r="B33" s="15"/>
      <c r="C33" s="15"/>
      <c r="D33" s="15"/>
      <c r="E33" s="15"/>
      <c r="F33" s="15"/>
      <c r="G33" s="15"/>
    </row>
  </sheetData>
  <mergeCells count="12">
    <mergeCell ref="A1:G1"/>
    <mergeCell ref="A3:G3"/>
    <mergeCell ref="A12:E12"/>
    <mergeCell ref="A14:G14"/>
    <mergeCell ref="A23:E23"/>
    <mergeCell ref="A25:E25"/>
    <mergeCell ref="A27:G27"/>
    <mergeCell ref="A29:G29"/>
    <mergeCell ref="A30:G30"/>
    <mergeCell ref="A31:G31"/>
    <mergeCell ref="A32:G32"/>
    <mergeCell ref="A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2026-09-05T03:06:52Z</dcterms:created>
  <dc:creator>openpyxl</dc:creator>
  <dc:description/>
  <dc:language>en-US</dc:language>
  <cp:lastModifiedBy/>
  <dcterms:modified xsi:type="dcterms:W3CDTF">2026-09-07T19:58:16Z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